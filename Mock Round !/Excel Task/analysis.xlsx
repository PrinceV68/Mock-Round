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tud\Downloads\Task_A_Excel_Set_B\"/>
    </mc:Choice>
  </mc:AlternateContent>
  <bookViews>
    <workbookView xWindow="0" yWindow="0" windowWidth="25125" windowHeight="12300" activeTab="3"/>
  </bookViews>
  <sheets>
    <sheet name="Raw" sheetId="1" r:id="rId1"/>
    <sheet name="Lookup" sheetId="2" r:id="rId2"/>
    <sheet name="Clean" sheetId="3" r:id="rId3"/>
    <sheet name="Summary" sheetId="4" r:id="rId4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4" l="1"/>
  <c r="B11" i="4"/>
  <c r="B8" i="4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B5" i="4" s="1"/>
  <c r="G8" i="3"/>
  <c r="H7" i="3"/>
  <c r="B4" i="4" s="1"/>
  <c r="G7" i="3"/>
  <c r="H6" i="3"/>
  <c r="B9" i="4" s="1"/>
  <c r="B10" i="4" s="1"/>
  <c r="G6" i="3"/>
  <c r="E4" i="4" s="1"/>
  <c r="E3" i="3"/>
  <c r="F4" i="4" l="1"/>
  <c r="G4" i="4"/>
  <c r="B3" i="4"/>
  <c r="E3" i="4"/>
  <c r="F3" i="4"/>
  <c r="G3" i="4"/>
</calcChain>
</file>

<file path=xl/sharedStrings.xml><?xml version="1.0" encoding="utf-8"?>
<sst xmlns="http://schemas.openxmlformats.org/spreadsheetml/2006/main" count="130" uniqueCount="43">
  <si>
    <t>Customer Support Quality Analysis — Raw Tickets</t>
  </si>
  <si>
    <t>Source data: tickets.csv (13 rows including the supplied exact duplicate). Values are preserved unchanged.</t>
  </si>
  <si>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</si>
  <si>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</si>
  <si>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</si>
  <si>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</si>
  <si>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</si>
  <si>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</si>
  <si>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</si>
  <si>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</si>
  <si>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</si>
  <si>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</si>
  <si>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</si>
  <si>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</si>
  <si>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</si>
  <si>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</si>
  <si>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</si>
  <si>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</si>
  <si>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 Lookup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</si>
  <si>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</si>
  <si>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</si>
  <si>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</si>
  <si>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</si>
  <si>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</si>
  <si>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</si>
  <si>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</si>
  <si>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</si>
  <si>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Clean Tickets</t>
  </si>
  <si>
    <t>Duplicate removed: ticket_id 12 appears once in the clean data. Department and breach_flag are formula-driven.</t>
  </si>
  <si>
    <t>Before row count</t>
  </si>
  <si>
    <t>After row count</t>
  </si>
  <si>
    <t>breach_flag</t>
  </si>
  <si>
    <t>SLA Breaches by Channel</t>
  </si>
  <si>
    <t>Average Resolution Hours by Department and Month</t>
  </si>
  <si>
    <t>Channel</t>
  </si>
  <si>
    <t>Breached tickets</t>
  </si>
  <si>
    <t>Department</t>
  </si>
  <si>
    <t>Overall Checks</t>
  </si>
  <si>
    <t>Clean ticket count</t>
  </si>
  <si>
    <t>Overall breach count</t>
  </si>
  <si>
    <t>Overall SLA breach rate</t>
  </si>
  <si>
    <t>Average resolution hours</t>
  </si>
  <si>
    <t>Average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</si>
</sst>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2"/>
      <color rgb="FF1F4E78"/>
      <name val="Cambria"/>
      <charset val="1"/>
    </font>
    <font>
      <b/>
      <sz val="11"/>
      <color rgb="FF666666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CE4D6"/>
        <bgColor rgb="FFE2F0D9"/>
      </patternFill>
    </fill>
    <fill>
      <patternFill patternType="solid">
        <fgColor rgb="FFE2F0D9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0" borderId="1" xfId="0" applyFont="1" applyBorder="1" applyAlignment="1">
      <alignment vertical="center"/>
    </xf>
    <xf numFmtId="10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CE4D6"/>
      <rgbColor rgb="FFD9EA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Average Resolution Hours by Department and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Summary!$D$3:$D$4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Summary!$E$3:$E$4</c:f>
              <c:numCache>
                <c:formatCode>0.00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8-484B-99FC-D9F3CE76B88E}"/>
            </c:ext>
          </c:extLst>
        </c:ser>
        <c:ser>
          <c:idx val="1"/>
          <c:order val="1"/>
          <c:tx>
            <c:strRef>
              <c:f>Summary!$F$2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Summary!$D$3:$D$4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Summary!$F$3:$F$4</c:f>
              <c:numCache>
                <c:formatCode>0.00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8-484B-99FC-D9F3CE76B88E}"/>
            </c:ext>
          </c:extLst>
        </c:ser>
        <c:ser>
          <c:idx val="2"/>
          <c:order val="2"/>
          <c:tx>
            <c:strRef>
              <c:f>Summary!$G$2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Summary!$D$3:$D$4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Summary!$G$3:$G$4</c:f>
              <c:numCache>
                <c:formatCode>0.00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8-484B-99FC-D9F3CE76B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09088"/>
        <c:axId val="98644397"/>
      </c:barChart>
      <c:catAx>
        <c:axId val="630090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644397"/>
        <c:crosses val="autoZero"/>
        <c:auto val="1"/>
        <c:lblAlgn val="ctr"/>
        <c:lblOffset val="100"/>
        <c:noMultiLvlLbl val="0"/>
      </c:catAx>
      <c:valAx>
        <c:axId val="98644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resolution hours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009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174015</xdr:rowOff>
    </xdr:from>
    <xdr:to>
      <xdr:col>4</xdr:col>
      <xdr:colOff>105840</xdr:colOff>
      <xdr:row>29</xdr:row>
      <xdr:rowOff>5835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RawTickets" displayName="RawTickets" ref="A4:F17" totalsRowShown="0">
  <autoFilter ref="A4:F17"/>
  <tableColumns count="6">
    <tableColumn id="1" name="ticket_id"/>
    <tableColumn id="2" name="month"/>
    <tableColumn id="3" name="team_id"/>
    <tableColumn id="4" name="channel"/>
    <tableColumn id="5" name="resolution_hours"/>
    <tableColumn id="6" name="satisfac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eamLookup" displayName="TeamLookup" ref="A3:C7" totalsRowShown="0">
  <autoFilter ref="A3:C7"/>
  <tableColumns count="3">
    <tableColumn id="1" name="team_id"/>
    <tableColumn id="2" name="team"/>
    <tableColumn id="3" name="departm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CleanTickets" displayName="CleanTickets" ref="A5:H17" totalsRowShown="0">
  <autoFilter ref="A5:H17"/>
  <tableColumns count="8">
    <tableColumn id="1" name="ticket_id"/>
    <tableColumn id="2" name="month"/>
    <tableColumn id="3" name="team_id"/>
    <tableColumn id="4" name="channel"/>
    <tableColumn id="5" name="resolution_hours"/>
    <tableColumn id="6" name="satisfaction"/>
    <tableColumn id="7" name="department"/>
    <tableColumn id="8" name="breach_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7109375" defaultRowHeight="15" customHeight="1" x14ac:dyDescent="0.25"/>
  <cols>
    <col min="1" max="1" width="20" customWidth="1"/>
    <col min="2" max="2" width="18" customWidth="1"/>
    <col min="3" max="3" width="14" customWidth="1"/>
    <col min="4" max="5" width="18" customWidth="1"/>
    <col min="6" max="6" width="16" customWidth="1"/>
    <col min="7" max="7" width="18" customWidth="1"/>
    <col min="8" max="8" width="14" customWidth="1"/>
  </cols>
  <sheetData>
    <row r="1" spans="1:6" ht="18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3">
        <v>1</v>
      </c>
      <c r="B5" s="3" t="s">
        <v>8</v>
      </c>
      <c r="C5" s="3" t="s">
        <v>9</v>
      </c>
      <c r="D5" s="3" t="s">
        <v>10</v>
      </c>
      <c r="E5" s="3">
        <v>12</v>
      </c>
      <c r="F5" s="3">
        <v>4</v>
      </c>
    </row>
    <row r="6" spans="1:6" x14ac:dyDescent="0.25">
      <c r="A6" s="3">
        <v>2</v>
      </c>
      <c r="B6" s="3" t="s">
        <v>8</v>
      </c>
      <c r="C6" s="3" t="s">
        <v>11</v>
      </c>
      <c r="D6" s="3" t="s">
        <v>12</v>
      </c>
      <c r="E6" s="3">
        <v>28</v>
      </c>
      <c r="F6" s="3">
        <v>3</v>
      </c>
    </row>
    <row r="7" spans="1:6" x14ac:dyDescent="0.25">
      <c r="A7" s="3">
        <v>3</v>
      </c>
      <c r="B7" s="3" t="s">
        <v>8</v>
      </c>
      <c r="C7" s="3" t="s">
        <v>13</v>
      </c>
      <c r="D7" s="3" t="s">
        <v>14</v>
      </c>
      <c r="E7" s="3">
        <v>36</v>
      </c>
      <c r="F7" s="3">
        <v>2</v>
      </c>
    </row>
    <row r="8" spans="1:6" x14ac:dyDescent="0.25">
      <c r="A8" s="3">
        <v>4</v>
      </c>
      <c r="B8" s="3" t="s">
        <v>8</v>
      </c>
      <c r="C8" s="3" t="s">
        <v>15</v>
      </c>
      <c r="D8" s="3" t="s">
        <v>10</v>
      </c>
      <c r="E8" s="3">
        <v>20</v>
      </c>
      <c r="F8" s="3">
        <v>4</v>
      </c>
    </row>
    <row r="9" spans="1:6" x14ac:dyDescent="0.25">
      <c r="A9" s="3">
        <v>5</v>
      </c>
      <c r="B9" s="3" t="s">
        <v>16</v>
      </c>
      <c r="C9" s="3" t="s">
        <v>9</v>
      </c>
      <c r="D9" s="3" t="s">
        <v>12</v>
      </c>
      <c r="E9" s="3">
        <v>8</v>
      </c>
      <c r="F9" s="3">
        <v>5</v>
      </c>
    </row>
    <row r="10" spans="1:6" x14ac:dyDescent="0.25">
      <c r="A10" s="3">
        <v>6</v>
      </c>
      <c r="B10" s="3" t="s">
        <v>16</v>
      </c>
      <c r="C10" s="3" t="s">
        <v>11</v>
      </c>
      <c r="D10" s="3" t="s">
        <v>14</v>
      </c>
      <c r="E10" s="3">
        <v>30</v>
      </c>
      <c r="F10" s="3">
        <v>3</v>
      </c>
    </row>
    <row r="11" spans="1:6" x14ac:dyDescent="0.25">
      <c r="A11" s="3">
        <v>7</v>
      </c>
      <c r="B11" s="3" t="s">
        <v>16</v>
      </c>
      <c r="C11" s="3" t="s">
        <v>13</v>
      </c>
      <c r="D11" s="3" t="s">
        <v>10</v>
      </c>
      <c r="E11" s="3">
        <v>18</v>
      </c>
      <c r="F11" s="3">
        <v>4</v>
      </c>
    </row>
    <row r="12" spans="1:6" x14ac:dyDescent="0.25">
      <c r="A12" s="3">
        <v>8</v>
      </c>
      <c r="B12" s="3" t="s">
        <v>16</v>
      </c>
      <c r="C12" s="3" t="s">
        <v>15</v>
      </c>
      <c r="D12" s="3" t="s">
        <v>12</v>
      </c>
      <c r="E12" s="3">
        <v>40</v>
      </c>
      <c r="F12" s="3">
        <v>2</v>
      </c>
    </row>
    <row r="13" spans="1:6" x14ac:dyDescent="0.25">
      <c r="A13" s="3">
        <v>9</v>
      </c>
      <c r="B13" s="3" t="s">
        <v>17</v>
      </c>
      <c r="C13" s="3" t="s">
        <v>9</v>
      </c>
      <c r="D13" s="3" t="s">
        <v>14</v>
      </c>
      <c r="E13" s="3">
        <v>16</v>
      </c>
      <c r="F13" s="3">
        <v>4</v>
      </c>
    </row>
    <row r="14" spans="1:6" x14ac:dyDescent="0.25">
      <c r="A14" s="3">
        <v>10</v>
      </c>
      <c r="B14" s="3" t="s">
        <v>17</v>
      </c>
      <c r="C14" s="3" t="s">
        <v>11</v>
      </c>
      <c r="D14" s="3" t="s">
        <v>10</v>
      </c>
      <c r="E14" s="3">
        <v>22</v>
      </c>
      <c r="F14" s="3">
        <v>4</v>
      </c>
    </row>
    <row r="15" spans="1:6" x14ac:dyDescent="0.25">
      <c r="A15" s="3">
        <v>11</v>
      </c>
      <c r="B15" s="3" t="s">
        <v>17</v>
      </c>
      <c r="C15" s="3" t="s">
        <v>13</v>
      </c>
      <c r="D15" s="3" t="s">
        <v>12</v>
      </c>
      <c r="E15" s="3">
        <v>32</v>
      </c>
      <c r="F15" s="3">
        <v>3</v>
      </c>
    </row>
    <row r="16" spans="1:6" x14ac:dyDescent="0.25">
      <c r="A16" s="3">
        <v>12</v>
      </c>
      <c r="B16" s="3" t="s">
        <v>17</v>
      </c>
      <c r="C16" s="3" t="s">
        <v>15</v>
      </c>
      <c r="D16" s="3" t="s">
        <v>14</v>
      </c>
      <c r="E16" s="3">
        <v>24</v>
      </c>
      <c r="F16" s="3">
        <v>5</v>
      </c>
    </row>
    <row r="17" spans="1:6" x14ac:dyDescent="0.25">
      <c r="A17" s="3">
        <v>12</v>
      </c>
      <c r="B17" s="3" t="s">
        <v>17</v>
      </c>
      <c r="C17" s="3" t="s">
        <v>15</v>
      </c>
      <c r="D17" s="3" t="s">
        <v>14</v>
      </c>
      <c r="E17" s="3">
        <v>24</v>
      </c>
      <c r="F17" s="3">
        <v>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zoomScaleNormal="100" workbookViewId="0">
      <pane ySplit="3" topLeftCell="A4" activePane="bottomLeft" state="frozen"/>
      <selection pane="bottomLeft" activeCell="C7" sqref="C7"/>
    </sheetView>
  </sheetViews>
  <sheetFormatPr defaultColWidth="8.7109375" defaultRowHeight="15" customHeight="1" x14ac:dyDescent="0.25"/>
  <cols>
    <col min="1" max="1" width="20" customWidth="1"/>
    <col min="2" max="2" width="18" customWidth="1"/>
    <col min="3" max="3" width="14" customWidth="1"/>
    <col min="4" max="5" width="18" customWidth="1"/>
    <col min="6" max="6" width="16" customWidth="1"/>
    <col min="7" max="7" width="18" customWidth="1"/>
    <col min="8" max="8" width="14" customWidth="1"/>
  </cols>
  <sheetData>
    <row r="1" spans="1:3" ht="18" x14ac:dyDescent="0.25">
      <c r="A1" s="2" t="s">
        <v>18</v>
      </c>
      <c r="B1" s="2"/>
      <c r="C1" s="2"/>
    </row>
    <row r="2" spans="1:3" x14ac:dyDescent="0.25">
      <c r="A2" s="3"/>
      <c r="B2" s="3"/>
      <c r="C2" s="3"/>
    </row>
    <row r="3" spans="1:3" x14ac:dyDescent="0.25">
      <c r="A3" s="4" t="s">
        <v>4</v>
      </c>
      <c r="B3" s="4" t="s">
        <v>19</v>
      </c>
      <c r="C3" s="4" t="s">
        <v>20</v>
      </c>
    </row>
    <row r="4" spans="1:3" x14ac:dyDescent="0.25">
      <c r="A4" s="3" t="s">
        <v>9</v>
      </c>
      <c r="B4" s="3" t="s">
        <v>21</v>
      </c>
      <c r="C4" s="3" t="s">
        <v>22</v>
      </c>
    </row>
    <row r="5" spans="1:3" x14ac:dyDescent="0.25">
      <c r="A5" s="3" t="s">
        <v>11</v>
      </c>
      <c r="B5" s="3" t="s">
        <v>23</v>
      </c>
      <c r="C5" s="3" t="s">
        <v>22</v>
      </c>
    </row>
    <row r="6" spans="1:3" x14ac:dyDescent="0.25">
      <c r="A6" s="3" t="s">
        <v>13</v>
      </c>
      <c r="B6" s="3" t="s">
        <v>24</v>
      </c>
      <c r="C6" s="3" t="s">
        <v>25</v>
      </c>
    </row>
    <row r="7" spans="1:3" x14ac:dyDescent="0.25">
      <c r="A7" s="3" t="s">
        <v>15</v>
      </c>
      <c r="B7" s="3" t="s">
        <v>26</v>
      </c>
      <c r="C7" s="3" t="s">
        <v>25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zoomScaleNormal="100" workbookViewId="0">
      <pane ySplit="5" topLeftCell="A6" activePane="bottomLeft" state="frozen"/>
      <selection pane="bottomLeft" sqref="A1:H1"/>
    </sheetView>
  </sheetViews>
  <sheetFormatPr defaultColWidth="8.7109375" defaultRowHeight="15" customHeight="1" x14ac:dyDescent="0.25"/>
  <cols>
    <col min="1" max="1" width="20" customWidth="1"/>
    <col min="2" max="2" width="18" customWidth="1"/>
    <col min="3" max="3" width="14" customWidth="1"/>
    <col min="4" max="5" width="18" customWidth="1"/>
    <col min="6" max="6" width="16" customWidth="1"/>
    <col min="7" max="7" width="18" customWidth="1"/>
    <col min="8" max="8" width="14" customWidth="1"/>
  </cols>
  <sheetData>
    <row r="1" spans="1:8" ht="18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28</v>
      </c>
      <c r="B2" s="1"/>
      <c r="C2" s="1"/>
      <c r="D2" s="1"/>
      <c r="E2" s="1"/>
      <c r="F2" s="1"/>
      <c r="G2" s="1"/>
      <c r="H2" s="1"/>
    </row>
    <row r="3" spans="1:8" x14ac:dyDescent="0.25">
      <c r="A3" s="5" t="s">
        <v>29</v>
      </c>
      <c r="B3" s="6">
        <v>13</v>
      </c>
      <c r="C3" s="3"/>
      <c r="D3" s="5" t="s">
        <v>30</v>
      </c>
      <c r="E3" s="7">
        <f>COUNTA(A6:A17)</f>
        <v>12</v>
      </c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20</v>
      </c>
      <c r="H5" s="4" t="s">
        <v>31</v>
      </c>
    </row>
    <row r="6" spans="1:8" x14ac:dyDescent="0.25">
      <c r="A6" s="3">
        <v>1</v>
      </c>
      <c r="B6" s="3" t="s">
        <v>8</v>
      </c>
      <c r="C6" s="3" t="s">
        <v>9</v>
      </c>
      <c r="D6" s="3" t="s">
        <v>10</v>
      </c>
      <c r="E6" s="8">
        <v>12</v>
      </c>
      <c r="F6" s="8">
        <v>4</v>
      </c>
      <c r="G6" s="3" t="str">
        <f>INDEX(Lookup!$C$4:$C$7,MATCH(C6,Lookup!$A$4:$A$7,0))</f>
        <v>Service</v>
      </c>
      <c r="H6" s="3">
        <f t="shared" ref="H6:H17" si="0">IF(E6&gt;24,1,0)</f>
        <v>0</v>
      </c>
    </row>
    <row r="7" spans="1:8" x14ac:dyDescent="0.25">
      <c r="A7" s="3">
        <v>2</v>
      </c>
      <c r="B7" s="3" t="s">
        <v>8</v>
      </c>
      <c r="C7" s="3" t="s">
        <v>11</v>
      </c>
      <c r="D7" s="3" t="s">
        <v>12</v>
      </c>
      <c r="E7" s="8">
        <v>28</v>
      </c>
      <c r="F7" s="8">
        <v>3</v>
      </c>
      <c r="G7" s="3" t="str">
        <f>INDEX(Lookup!$C$4:$C$7,MATCH(C7,Lookup!$A$4:$A$7,0))</f>
        <v>Service</v>
      </c>
      <c r="H7" s="3">
        <f t="shared" si="0"/>
        <v>1</v>
      </c>
    </row>
    <row r="8" spans="1:8" x14ac:dyDescent="0.25">
      <c r="A8" s="3">
        <v>3</v>
      </c>
      <c r="B8" s="3" t="s">
        <v>8</v>
      </c>
      <c r="C8" s="3" t="s">
        <v>13</v>
      </c>
      <c r="D8" s="3" t="s">
        <v>14</v>
      </c>
      <c r="E8" s="8">
        <v>36</v>
      </c>
      <c r="F8" s="8">
        <v>2</v>
      </c>
      <c r="G8" s="3" t="str">
        <f>INDEX(Lookup!$C$4:$C$7,MATCH(C8,Lookup!$A$4:$A$7,0))</f>
        <v>Technical</v>
      </c>
      <c r="H8" s="3">
        <f t="shared" si="0"/>
        <v>1</v>
      </c>
    </row>
    <row r="9" spans="1:8" x14ac:dyDescent="0.25">
      <c r="A9" s="3">
        <v>4</v>
      </c>
      <c r="B9" s="3" t="s">
        <v>8</v>
      </c>
      <c r="C9" s="3" t="s">
        <v>15</v>
      </c>
      <c r="D9" s="3" t="s">
        <v>10</v>
      </c>
      <c r="E9" s="8">
        <v>20</v>
      </c>
      <c r="F9" s="8">
        <v>4</v>
      </c>
      <c r="G9" s="3" t="str">
        <f>INDEX(Lookup!$C$4:$C$7,MATCH(C9,Lookup!$A$4:$A$7,0))</f>
        <v>Technical</v>
      </c>
      <c r="H9" s="3">
        <f t="shared" si="0"/>
        <v>0</v>
      </c>
    </row>
    <row r="10" spans="1:8" x14ac:dyDescent="0.25">
      <c r="A10" s="3">
        <v>5</v>
      </c>
      <c r="B10" s="3" t="s">
        <v>16</v>
      </c>
      <c r="C10" s="3" t="s">
        <v>9</v>
      </c>
      <c r="D10" s="3" t="s">
        <v>12</v>
      </c>
      <c r="E10" s="8">
        <v>8</v>
      </c>
      <c r="F10" s="8">
        <v>5</v>
      </c>
      <c r="G10" s="3" t="str">
        <f>INDEX(Lookup!$C$4:$C$7,MATCH(C10,Lookup!$A$4:$A$7,0))</f>
        <v>Service</v>
      </c>
      <c r="H10" s="3">
        <f t="shared" si="0"/>
        <v>0</v>
      </c>
    </row>
    <row r="11" spans="1:8" x14ac:dyDescent="0.25">
      <c r="A11" s="3">
        <v>6</v>
      </c>
      <c r="B11" s="3" t="s">
        <v>16</v>
      </c>
      <c r="C11" s="3" t="s">
        <v>11</v>
      </c>
      <c r="D11" s="3" t="s">
        <v>14</v>
      </c>
      <c r="E11" s="8">
        <v>30</v>
      </c>
      <c r="F11" s="8">
        <v>3</v>
      </c>
      <c r="G11" s="3" t="str">
        <f>INDEX(Lookup!$C$4:$C$7,MATCH(C11,Lookup!$A$4:$A$7,0))</f>
        <v>Service</v>
      </c>
      <c r="H11" s="3">
        <f t="shared" si="0"/>
        <v>1</v>
      </c>
    </row>
    <row r="12" spans="1:8" x14ac:dyDescent="0.25">
      <c r="A12" s="3">
        <v>7</v>
      </c>
      <c r="B12" s="3" t="s">
        <v>16</v>
      </c>
      <c r="C12" s="3" t="s">
        <v>13</v>
      </c>
      <c r="D12" s="3" t="s">
        <v>10</v>
      </c>
      <c r="E12" s="8">
        <v>18</v>
      </c>
      <c r="F12" s="8">
        <v>4</v>
      </c>
      <c r="G12" s="3" t="str">
        <f>INDEX(Lookup!$C$4:$C$7,MATCH(C12,Lookup!$A$4:$A$7,0))</f>
        <v>Technical</v>
      </c>
      <c r="H12" s="3">
        <f t="shared" si="0"/>
        <v>0</v>
      </c>
    </row>
    <row r="13" spans="1:8" x14ac:dyDescent="0.25">
      <c r="A13" s="3">
        <v>8</v>
      </c>
      <c r="B13" s="3" t="s">
        <v>16</v>
      </c>
      <c r="C13" s="3" t="s">
        <v>15</v>
      </c>
      <c r="D13" s="3" t="s">
        <v>12</v>
      </c>
      <c r="E13" s="8">
        <v>40</v>
      </c>
      <c r="F13" s="8">
        <v>2</v>
      </c>
      <c r="G13" s="3" t="str">
        <f>INDEX(Lookup!$C$4:$C$7,MATCH(C13,Lookup!$A$4:$A$7,0))</f>
        <v>Technical</v>
      </c>
      <c r="H13" s="3">
        <f t="shared" si="0"/>
        <v>1</v>
      </c>
    </row>
    <row r="14" spans="1:8" x14ac:dyDescent="0.25">
      <c r="A14" s="3">
        <v>9</v>
      </c>
      <c r="B14" s="3" t="s">
        <v>17</v>
      </c>
      <c r="C14" s="3" t="s">
        <v>9</v>
      </c>
      <c r="D14" s="3" t="s">
        <v>14</v>
      </c>
      <c r="E14" s="8">
        <v>16</v>
      </c>
      <c r="F14" s="8">
        <v>4</v>
      </c>
      <c r="G14" s="3" t="str">
        <f>INDEX(Lookup!$C$4:$C$7,MATCH(C14,Lookup!$A$4:$A$7,0))</f>
        <v>Service</v>
      </c>
      <c r="H14" s="3">
        <f t="shared" si="0"/>
        <v>0</v>
      </c>
    </row>
    <row r="15" spans="1:8" x14ac:dyDescent="0.25">
      <c r="A15" s="3">
        <v>10</v>
      </c>
      <c r="B15" s="3" t="s">
        <v>17</v>
      </c>
      <c r="C15" s="3" t="s">
        <v>11</v>
      </c>
      <c r="D15" s="3" t="s">
        <v>10</v>
      </c>
      <c r="E15" s="8">
        <v>22</v>
      </c>
      <c r="F15" s="8">
        <v>4</v>
      </c>
      <c r="G15" s="3" t="str">
        <f>INDEX(Lookup!$C$4:$C$7,MATCH(C15,Lookup!$A$4:$A$7,0))</f>
        <v>Service</v>
      </c>
      <c r="H15" s="3">
        <f t="shared" si="0"/>
        <v>0</v>
      </c>
    </row>
    <row r="16" spans="1:8" x14ac:dyDescent="0.25">
      <c r="A16" s="3">
        <v>11</v>
      </c>
      <c r="B16" s="3" t="s">
        <v>17</v>
      </c>
      <c r="C16" s="3" t="s">
        <v>13</v>
      </c>
      <c r="D16" s="3" t="s">
        <v>12</v>
      </c>
      <c r="E16" s="8">
        <v>32</v>
      </c>
      <c r="F16" s="8">
        <v>3</v>
      </c>
      <c r="G16" s="3" t="str">
        <f>INDEX(Lookup!$C$4:$C$7,MATCH(C16,Lookup!$A$4:$A$7,0))</f>
        <v>Technical</v>
      </c>
      <c r="H16" s="3">
        <f t="shared" si="0"/>
        <v>1</v>
      </c>
    </row>
    <row r="17" spans="1:8" x14ac:dyDescent="0.25">
      <c r="A17" s="3">
        <v>12</v>
      </c>
      <c r="B17" s="3" t="s">
        <v>17</v>
      </c>
      <c r="C17" s="3" t="s">
        <v>15</v>
      </c>
      <c r="D17" s="3" t="s">
        <v>14</v>
      </c>
      <c r="E17" s="8">
        <v>24</v>
      </c>
      <c r="F17" s="8">
        <v>5</v>
      </c>
      <c r="G17" s="3" t="str">
        <f>INDEX(Lookup!$C$4:$C$7,MATCH(C17,Lookup!$A$4:$A$7,0))</f>
        <v>Technical</v>
      </c>
      <c r="H17" s="3">
        <f t="shared" si="0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zoomScaleNormal="100" workbookViewId="0">
      <selection activeCell="C8" sqref="C8"/>
    </sheetView>
  </sheetViews>
  <sheetFormatPr defaultColWidth="8.7109375" defaultRowHeight="15" customHeight="1" x14ac:dyDescent="0.25"/>
  <cols>
    <col min="1" max="1" width="20" customWidth="1"/>
    <col min="2" max="2" width="18" customWidth="1"/>
    <col min="3" max="3" width="14" customWidth="1"/>
    <col min="4" max="5" width="18" customWidth="1"/>
    <col min="6" max="6" width="16" customWidth="1"/>
    <col min="7" max="7" width="18" customWidth="1"/>
    <col min="8" max="8" width="14" customWidth="1"/>
  </cols>
  <sheetData>
    <row r="1" spans="1:8" ht="15.75" x14ac:dyDescent="0.25">
      <c r="A1" s="9" t="s">
        <v>32</v>
      </c>
      <c r="B1" s="3"/>
      <c r="C1" s="3"/>
      <c r="D1" s="9" t="s">
        <v>33</v>
      </c>
      <c r="E1" s="3"/>
      <c r="F1" s="3"/>
      <c r="G1" s="3"/>
      <c r="H1" s="3"/>
    </row>
    <row r="2" spans="1:8" x14ac:dyDescent="0.25">
      <c r="A2" s="4" t="s">
        <v>34</v>
      </c>
      <c r="B2" s="4" t="s">
        <v>35</v>
      </c>
      <c r="C2" s="3"/>
      <c r="D2" s="4" t="s">
        <v>36</v>
      </c>
      <c r="E2" s="4" t="s">
        <v>8</v>
      </c>
      <c r="F2" s="4" t="s">
        <v>16</v>
      </c>
      <c r="G2" s="4" t="s">
        <v>17</v>
      </c>
      <c r="H2" s="3"/>
    </row>
    <row r="3" spans="1:8" x14ac:dyDescent="0.25">
      <c r="A3" s="3" t="s">
        <v>10</v>
      </c>
      <c r="B3" s="10">
        <f>COUNTIFS(Clean!$D$6:$D$17,A3,Clean!$H$6:$H$17,1)</f>
        <v>0</v>
      </c>
      <c r="C3" s="3"/>
      <c r="D3" s="3" t="s">
        <v>22</v>
      </c>
      <c r="E3" s="8">
        <f>IFERROR(AVERAGEIFS(Clean!$E$6:$E$17,Clean!$G$6:$G$17,$D3,Clean!$B$6:$B$17,E$2),"")</f>
        <v>20</v>
      </c>
      <c r="F3" s="8">
        <f>IFERROR(AVERAGEIFS(Clean!$E$6:$E$17,Clean!$G$6:$G$17,$D3,Clean!$B$6:$B$17,F$2),"")</f>
        <v>19</v>
      </c>
      <c r="G3" s="8">
        <f>IFERROR(AVERAGEIFS(Clean!$E$6:$E$17,Clean!$G$6:$G$17,$D3,Clean!$B$6:$B$17,G$2),"")</f>
        <v>19</v>
      </c>
      <c r="H3" s="3"/>
    </row>
    <row r="4" spans="1:8" x14ac:dyDescent="0.25">
      <c r="A4" s="3" t="s">
        <v>12</v>
      </c>
      <c r="B4" s="10">
        <f>COUNTIFS(Clean!$D$6:$D$17,A4,Clean!$H$6:$H$17,1)</f>
        <v>3</v>
      </c>
      <c r="C4" s="3"/>
      <c r="D4" s="3" t="s">
        <v>25</v>
      </c>
      <c r="E4" s="8">
        <f>IFERROR(AVERAGEIFS(Clean!$E$6:$E$17,Clean!$G$6:$G$17,$D4,Clean!$B$6:$B$17,E$2),"")</f>
        <v>28</v>
      </c>
      <c r="F4" s="8">
        <f>IFERROR(AVERAGEIFS(Clean!$E$6:$E$17,Clean!$G$6:$G$17,$D4,Clean!$B$6:$B$17,F$2),"")</f>
        <v>29</v>
      </c>
      <c r="G4" s="8">
        <f>IFERROR(AVERAGEIFS(Clean!$E$6:$E$17,Clean!$G$6:$G$17,$D4,Clean!$B$6:$B$17,G$2),"")</f>
        <v>28</v>
      </c>
      <c r="H4" s="3"/>
    </row>
    <row r="5" spans="1:8" x14ac:dyDescent="0.25">
      <c r="A5" s="3" t="s">
        <v>14</v>
      </c>
      <c r="B5" s="10">
        <f>COUNTIFS(Clean!$D$6:$D$17,A5,Clean!$H$6:$H$17,1)</f>
        <v>2</v>
      </c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11"/>
      <c r="E6" s="3"/>
      <c r="F6" s="3"/>
      <c r="G6" s="3"/>
      <c r="H6" s="3"/>
    </row>
    <row r="7" spans="1:8" ht="15.75" x14ac:dyDescent="0.25">
      <c r="A7" s="9" t="s">
        <v>37</v>
      </c>
      <c r="B7" s="3"/>
      <c r="C7" s="3"/>
      <c r="D7" s="11"/>
      <c r="E7" s="3"/>
      <c r="F7" s="3"/>
      <c r="G7" s="3"/>
      <c r="H7" s="3"/>
    </row>
    <row r="8" spans="1:8" x14ac:dyDescent="0.25">
      <c r="A8" s="3" t="s">
        <v>38</v>
      </c>
      <c r="B8" s="3">
        <f>COUNTA(Clean!A6:A17)</f>
        <v>12</v>
      </c>
      <c r="C8" s="3"/>
      <c r="D8" s="11"/>
      <c r="E8" s="3"/>
      <c r="F8" s="3"/>
      <c r="G8" s="3"/>
      <c r="H8" s="3"/>
    </row>
    <row r="9" spans="1:8" x14ac:dyDescent="0.25">
      <c r="A9" s="3" t="s">
        <v>39</v>
      </c>
      <c r="B9" s="3">
        <f>SUM(Clean!H6:H17)</f>
        <v>5</v>
      </c>
      <c r="C9" s="3"/>
      <c r="D9" s="3"/>
      <c r="E9" s="3"/>
      <c r="F9" s="3"/>
      <c r="G9" s="3"/>
      <c r="H9" s="3"/>
    </row>
    <row r="10" spans="1:8" x14ac:dyDescent="0.25">
      <c r="A10" s="3" t="s">
        <v>40</v>
      </c>
      <c r="B10" s="12">
        <f>B9/B8</f>
        <v>0.41666666666666669</v>
      </c>
      <c r="C10" s="3"/>
      <c r="D10" s="3"/>
      <c r="E10" s="3"/>
      <c r="F10" s="3"/>
      <c r="G10" s="3"/>
      <c r="H10" s="3"/>
    </row>
    <row r="11" spans="1:8" x14ac:dyDescent="0.25">
      <c r="A11" s="3" t="s">
        <v>41</v>
      </c>
      <c r="B11" s="8">
        <f>AVERAGE(Clean!E6:E17)</f>
        <v>23.833333333333332</v>
      </c>
      <c r="C11" s="3"/>
      <c r="D11" s="3"/>
      <c r="E11" s="3"/>
      <c r="F11" s="3"/>
      <c r="G11" s="3"/>
      <c r="H11" s="3"/>
    </row>
    <row r="12" spans="1:8" x14ac:dyDescent="0.25">
      <c r="A12" s="3" t="s">
        <v>42</v>
      </c>
      <c r="B12" s="8">
        <f>AVERAGE(Clean!F6:F17)</f>
        <v>3.5833333333333335</v>
      </c>
      <c r="C12" s="3"/>
      <c r="D12" s="3"/>
      <c r="E12" s="3"/>
      <c r="F12" s="3"/>
      <c r="G12" s="3"/>
      <c r="H12" s="3"/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mitudiyora@gmail.com</cp:lastModifiedBy>
  <dcterms:modified xsi:type="dcterms:W3CDTF">2026-09-26T06:58:17Z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2026-09-26T06:43:10Z</dcterms:created>
  <dc:creator>openpyxl</dc:creator>
  <dc:description/>
  <dc:language>en-US</dc:language>
  <cp:lastModifiedBy/>
  <dcterms:modified xsi:type="dcterms:W3CDTF">2026-09-26T06:43:41Z</dcterms:modified>
  <cp:revision>0</cp:revision>
  <dc:subject/>
  <dc:title/>
</cp:coreProperties>
</file>